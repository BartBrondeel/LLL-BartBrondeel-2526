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8DF61D79-7AFC-4135-B789-87581E2952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eplan" sheetId="1" r:id="rId1"/>
    <sheet name="GitHub Commits" sheetId="4" r:id="rId2"/>
    <sheet name="Werkelijke ure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4" l="1"/>
  <c r="C86" i="4"/>
  <c r="C85" i="4"/>
  <c r="C88" i="4" s="1"/>
  <c r="F9" i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<sst xmlns="http://schemas.openxmlformats.org/spreadsheetml/2006/main" count="365" uniqueCount="189">
  <si>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</si>
  <si>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</si>
  <si>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</si>
  <si>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</si>
  <si>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</si>
  <si>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</si>
  <si>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</si>
  <si>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</si>
  <si>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</si>
  <si>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</si>
  <si>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</si>
  <si>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</si>
  <si>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</si>
  <si>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</si>
  <si>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</si>
  <si>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</si>
  <si>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</si>
  <si>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</si>
  <si>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</si>
  <si>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</si>
  <si>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</si>
  <si>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</si>
  <si>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</si>
  <si>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</si>
  <si>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</si>
  <si>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</si>
  <si>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</si>
  <si>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</si>
  <si>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</si>
  <si>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</si>
  <si>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</si>
  <si>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</si>
  <si>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</si>
  <si>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</si>
  <si>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</si>
  <si>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</si>
  <si>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</si>
  <si>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</si>
  <si>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</si>
  <si>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</si>
  <si>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</si>
  <si>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</si>
  <si>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</si>
  <si>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</si>
  <si>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</si>
  <si>
    <t>Urenregistratie via GitHub Commits — Bart Brondeel | Graduaat Programmeren Odisee 2025-2026</t>
  </si>
  <si>
    <t>Datum</t>
  </si>
  <si>
    <t>Categorie</t>
  </si>
  <si>
    <t>Uren</t>
  </si>
  <si>
    <t>Omschrijving commit(s)</t>
  </si>
  <si>
    <t>GitHub bewijs</t>
  </si>
  <si>
    <t>Cursus 1</t>
  </si>
  <si>
    <t>Dag 1 - Werken met variabelen</t>
  </si>
  <si>
    <t>Dag 2 - Data types en string manipulatie</t>
  </si>
  <si>
    <t>Dag 3 - Controlestroom en logische operatoren</t>
  </si>
  <si>
    <t>Dag 4 - Random en lijsten</t>
  </si>
  <si>
    <t>✓ commit aanwezig</t>
  </si>
  <si>
    <t>Dag 5 - For loop + range</t>
  </si>
  <si>
    <t>Dag 6 - While loops en fucties</t>
  </si>
  <si>
    <t>Dag 7 - Hangman Game</t>
  </si>
  <si>
    <t>Dag 9 - Dictionaries, Secret Auction</t>
  </si>
  <si>
    <t>30/10/2025</t>
  </si>
  <si>
    <t>Dag 10-11 - Functies, Calculator, Blackjack</t>
  </si>
  <si>
    <t>31/10/2025</t>
  </si>
  <si>
    <t>Dag 12 - Scope, actieplan update</t>
  </si>
  <si>
    <t>01/11/2025</t>
  </si>
  <si>
    <t>Dag 13-14 - Debugging, hoger-lager spel</t>
  </si>
  <si>
    <t>02/11/2025</t>
  </si>
  <si>
    <t>Dag 15 - Coffee Machine, actieplan update</t>
  </si>
  <si>
    <t>03/11/2025</t>
  </si>
  <si>
    <t>Dag 16 - OOP, packages, logbook update</t>
  </si>
  <si>
    <t>28/11/2025</t>
  </si>
  <si>
    <t>Update week 46-47-48 logs</t>
  </si>
  <si>
    <t>01/12/2025</t>
  </si>
  <si>
    <t>Dag 18 - Tekenen, Turtle</t>
  </si>
  <si>
    <t>03/12/2025</t>
  </si>
  <si>
    <t>Dag 17 quiz game + dag 19 schildpaddenrace</t>
  </si>
  <si>
    <t>05/12/2025</t>
  </si>
  <si>
    <t>Dag 20-21 - Snake Game deel 1 &amp; 2</t>
  </si>
  <si>
    <t>06/12/2025</t>
  </si>
  <si>
    <t>Dag 22 - Pong Game</t>
  </si>
  <si>
    <t>08/12/2025</t>
  </si>
  <si>
    <t>Dag 23 - Turtlecrossing game</t>
  </si>
  <si>
    <t>09/12/2025</t>
  </si>
  <si>
    <t>Dag 24 - Bestanden lezen/schrijven</t>
  </si>
  <si>
    <t>10/12/2025</t>
  </si>
  <si>
    <t>Dag 25 - CSV + Pandas + US State Quiz</t>
  </si>
  <si>
    <t>11/12/2025</t>
  </si>
  <si>
    <t>Dag 26 - List &amp; dict comprehension</t>
  </si>
  <si>
    <t>12/12/2025</t>
  </si>
  <si>
    <t>Dag 27 - Tkinter GUI</t>
  </si>
  <si>
    <t>15/12/2025</t>
  </si>
  <si>
    <t>Dag 28-29 - BlokTimer, Password Generator</t>
  </si>
  <si>
    <t>16/12/2025</t>
  </si>
  <si>
    <t>Dag 30 - Errors, Exceptions, JSON</t>
  </si>
  <si>
    <t>19/12/2025</t>
  </si>
  <si>
    <t>Dag 31-34 - Flash Cards, Email, ISS API, Quizzler + logbook</t>
  </si>
  <si>
    <t>23/12/2025</t>
  </si>
  <si>
    <t>Dag 35 - Twilio SMS API</t>
  </si>
  <si>
    <t>24/12/2025</t>
  </si>
  <si>
    <t>Dag 36 - Stock News Monitoring</t>
  </si>
  <si>
    <t>Herstart na computer crash - Dag 1-2 herhaling</t>
  </si>
  <si>
    <t>Dag 3-6</t>
  </si>
  <si>
    <t>Dag 7-10</t>
  </si>
  <si>
    <t>Dag 11-12</t>
  </si>
  <si>
    <t>Dag 13-16</t>
  </si>
  <si>
    <t>Dag 17-18</t>
  </si>
  <si>
    <t>Dag 19-22</t>
  </si>
  <si>
    <t>Dag 23-26</t>
  </si>
  <si>
    <t>Dag 27-28</t>
  </si>
  <si>
    <t>Dag 29-32</t>
  </si>
  <si>
    <t>Dag 33-34</t>
  </si>
  <si>
    <t>Dag 35-36</t>
  </si>
  <si>
    <t>20/04/2026</t>
  </si>
  <si>
    <t>Dag 37-38  HTTP Requests, Get, Post, Put, Delete / Setup API  referenties en spreadsheet</t>
  </si>
  <si>
    <t>21/04/2026</t>
  </si>
  <si>
    <t>Dag 39-43 - Flight Deals App Dag 39 + mail uitbreiding op Dag 40, HTML deel 1 en 2 + CSS deel 1</t>
  </si>
  <si>
    <t>22/04/2026</t>
  </si>
  <si>
    <t>Dag 44-46 - CSS, Web Scraping, Playlist + actieplan</t>
  </si>
  <si>
    <t>23/04/2026</t>
  </si>
  <si>
    <t>Dag 47-49 - Price tracker, Selenium</t>
  </si>
  <si>
    <t>24/04/2026</t>
  </si>
  <si>
    <t>Dag 50-51 - Twitter bot en Tinder bot</t>
  </si>
  <si>
    <t>27/04/2026</t>
  </si>
  <si>
    <t>Dag 52-55 - Extra scraping oefeningen + actieplan</t>
  </si>
  <si>
    <t>28/04/2026</t>
  </si>
  <si>
    <t>Dag 56-60 - Flask</t>
  </si>
  <si>
    <t>29/04/2026</t>
  </si>
  <si>
    <t>Dag 61-64 - Flask part 2 + actieplan</t>
  </si>
  <si>
    <t>30/04/2026</t>
  </si>
  <si>
    <t>Dag 65-68 - Web design / Authenntication with flask</t>
  </si>
  <si>
    <t>Eindwerk</t>
  </si>
  <si>
    <t>Eindwerk Sessie 1: Project setup - Flask Hello World</t>
  </si>
  <si>
    <t>04/05/2026</t>
  </si>
  <si>
    <t>Dag 69 - Blog part 4</t>
  </si>
  <si>
    <t>05/05/2026</t>
  </si>
  <si>
    <t>Dag 70-72 - Git, Github, Data exploration + actieplan</t>
  </si>
  <si>
    <t>06/05/2026</t>
  </si>
  <si>
    <t>Dag 73-74 - Data visualisatie</t>
  </si>
  <si>
    <t>07/05/2026</t>
  </si>
  <si>
    <t>Dag 75-78 - Data resampling, N-dim arrays</t>
  </si>
  <si>
    <t>Dag 79-80 - Analysing / Tests / Distribution</t>
  </si>
  <si>
    <t>Dag 81-84 - further practice the material we have covered</t>
  </si>
  <si>
    <t>Dag 85-88 - further practice the material we have covered</t>
  </si>
  <si>
    <t>Eindwerk: Sessie 2: Config klasse - OOP + python-dotenv</t>
  </si>
  <si>
    <t>Dag 89-92 - further practice the material we have covered</t>
  </si>
  <si>
    <t>Dag 93-96 - further practice the material we have covered</t>
  </si>
  <si>
    <t>15/05/2026</t>
  </si>
  <si>
    <t>Dag 97-100 - further practice the material we have covered</t>
  </si>
  <si>
    <t>18/05/2026</t>
  </si>
  <si>
    <t>Cursus 2</t>
  </si>
  <si>
    <t>Cursus 2 Dag 1-4 - First Steps: Capturing and Storing User Input (Variabels, User Input, Lists)</t>
  </si>
  <si>
    <t>19/05/2026</t>
  </si>
  <si>
    <t>Cursus 2 Dag 5-8 - Display and Structure Output (Enumeration, f-strings)</t>
  </si>
  <si>
    <t>20/05/2026</t>
  </si>
  <si>
    <t>Eindwerk: Sessie 3: HomeWizardMeter klasse</t>
  </si>
  <si>
    <t>21/05/2026</t>
  </si>
  <si>
    <t>Cursus 2 Dag 9-11 - Decision Making in Apps (If / Elif / Else / Dictionaries)</t>
  </si>
  <si>
    <t>Eindwerk Sessie 4: PriceCalculator klasse</t>
  </si>
  <si>
    <t>26/05/2026</t>
  </si>
  <si>
    <t>Cursus 2 Dag 12-15 - Supercharge Functions with Arguments (Function Arguments, Defaults)</t>
  </si>
  <si>
    <t>27/05/2026</t>
  </si>
  <si>
    <t>Cursus 2 Dag 16-19 - Expand with External Libraries (Third-Party Modules, GitHub)</t>
  </si>
  <si>
    <t>28/05/2026</t>
  </si>
  <si>
    <t>Cursus 2 Dag 20-24 - Summary of Python Basics</t>
  </si>
  <si>
    <t>29/05/2026</t>
  </si>
  <si>
    <t>Cursus 2 Dag 25-28 - Build An AI Agent with Python and LangChain V1</t>
  </si>
  <si>
    <t>Eindwerk Sessie 5: DataManager klasse</t>
  </si>
  <si>
    <t>30/05/2026</t>
  </si>
  <si>
    <t>Eindwerk Sessie 6: FluviusImporter klasse</t>
  </si>
  <si>
    <t>01/06/2026</t>
  </si>
  <si>
    <t xml:space="preserve">Cursus 2 Dag 30-33 - Build a Weather Forecast Dashboard </t>
  </si>
  <si>
    <t>02/06/2026</t>
  </si>
  <si>
    <t>Cursus 2 Dag 34-39 - Build a Webcam Motion Alert App (Part 2: Email Alerting System)</t>
  </si>
  <si>
    <t>Eindwerk Sessie 7: EntsoEApi klasse</t>
  </si>
  <si>
    <t>03/06/2026</t>
  </si>
  <si>
    <t>Cursus 2 Dag 40-45 - Hotel Booking System with OOP (Part 3: Various Method Types)</t>
  </si>
  <si>
    <t>04/06/2026</t>
  </si>
  <si>
    <t>Cursus 2 Dag 46-48 - Web Automation with Selenium in a GUI</t>
  </si>
  <si>
    <t>05/06/2026</t>
  </si>
  <si>
    <t>Cursus 2 Dag 49-51 - Django Web App (Part 1: Setup &amp; Models)</t>
  </si>
  <si>
    <t>Eindwerk Sessie 8: Frontend dashboard</t>
  </si>
  <si>
    <t>Eindwerk Sessie 9: Uitbreidingen + Foutafhandeling + Logging</t>
  </si>
  <si>
    <t>08/06/2026</t>
  </si>
  <si>
    <t>Cursus 2 Dag 52-56 - Django, ML + Restaurant Menu App</t>
  </si>
  <si>
    <t>Totaal uren</t>
  </si>
  <si>
    <t>TOTAAL</t>
  </si>
  <si>
    <t>Alle categorieën</t>
  </si>
  <si>
    <t>Totaal studeeruren bewezen via GitHub commits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</si>
</sst>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&quot;u&quot;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0"/>
      <color rgb="FF0000CC"/>
      <name val="Arial"/>
    </font>
    <font>
      <sz val="10"/>
      <color rgb="FF1A7A1A"/>
      <name val="Arial"/>
    </font>
    <font>
      <b/>
      <sz val="10"/>
      <color rgb="FF000000"/>
      <name val="Arial"/>
    </font>
    <font>
      <b/>
      <sz val="11"/>
      <color rgb="FF000000"/>
      <name val="Arial"/>
    </font>
    <font>
      <i/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2E4057"/>
      </patternFill>
    </fill>
    <fill>
      <patternFill patternType="solid">
        <fgColor rgb="FF048A81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D5F5E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0" fillId="5" borderId="4" xfId="0" applyFill="1" applyBorder="1"/>
    <xf numFmtId="0" fontId="7" fillId="6" borderId="4" xfId="0" applyFont="1" applyFill="1" applyBorder="1" applyAlignment="1">
      <alignment horizontal="center" vertical="center"/>
    </xf>
    <xf numFmtId="14" fontId="8" fillId="7" borderId="4" xfId="0" applyNumberFormat="1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center" vertical="center"/>
    </xf>
    <xf numFmtId="1" fontId="9" fillId="7" borderId="4" xfId="0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left" vertical="center" wrapText="1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horizontal="center" vertical="center"/>
    </xf>
    <xf numFmtId="1" fontId="9" fillId="8" borderId="4" xfId="0" applyNumberFormat="1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14" fontId="8" fillId="8" borderId="4" xfId="0" applyNumberFormat="1" applyFont="1" applyFill="1" applyBorder="1" applyAlignment="1">
      <alignment horizontal="left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horizontal="center" vertical="center"/>
    </xf>
    <xf numFmtId="1" fontId="9" fillId="9" borderId="4" xfId="0" applyNumberFormat="1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left" vertical="center"/>
    </xf>
    <xf numFmtId="0" fontId="11" fillId="7" borderId="4" xfId="0" applyFont="1" applyFill="1" applyBorder="1" applyAlignment="1">
      <alignment horizontal="center" vertical="center"/>
    </xf>
    <xf numFmtId="164" fontId="12" fillId="7" borderId="4" xfId="0" applyNumberFormat="1" applyFont="1" applyFill="1" applyBorder="1" applyAlignment="1">
      <alignment horizontal="center" vertical="center"/>
    </xf>
    <xf numFmtId="0" fontId="13" fillId="7" borderId="4" xfId="0" applyFont="1" applyFill="1" applyBorder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11" fillId="9" borderId="4" xfId="0" applyFon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left" vertical="center"/>
    </xf>
    <xf numFmtId="0" fontId="11" fillId="8" borderId="4" xfId="0" applyFont="1" applyFill="1" applyBorder="1" applyAlignment="1">
      <alignment horizontal="left" vertical="center"/>
    </xf>
    <xf numFmtId="0" fontId="11" fillId="8" borderId="4" xfId="0" applyFont="1" applyFill="1" applyBorder="1" applyAlignment="1">
      <alignment horizontal="center" vertical="center"/>
    </xf>
    <xf numFmtId="164" fontId="12" fillId="8" borderId="4" xfId="0" applyNumberFormat="1" applyFont="1" applyFill="1" applyBorder="1" applyAlignment="1">
      <alignment horizontal="center" vertical="center"/>
    </xf>
    <xf numFmtId="0" fontId="13" fillId="8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4" xfId="0" applyNumberFormat="1" applyFont="1" applyFill="1" applyBorder="1" applyAlignment="1">
      <alignment horizontal="center" vertic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M18" sqref="M18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1">
        <v>46157</v>
      </c>
      <c r="I6" s="10">
        <f>('Werkelijke uren'!D102)</f>
        <v>68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213.25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46160</v>
      </c>
      <c r="H9" s="2"/>
      <c r="I9" s="2">
        <v>79</v>
      </c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>
        <v>46168</v>
      </c>
      <c r="H10" s="11">
        <v>46169</v>
      </c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1">
        <v>46169</v>
      </c>
      <c r="H11" s="11">
        <v>46170</v>
      </c>
      <c r="I11" s="10">
        <v>4</v>
      </c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1">
        <v>46168</v>
      </c>
      <c r="H12" s="11">
        <v>46181</v>
      </c>
      <c r="I12" s="10">
        <v>6</v>
      </c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1">
        <v>46170</v>
      </c>
      <c r="H13" s="11">
        <v>46171</v>
      </c>
      <c r="I13" s="10">
        <v>4</v>
      </c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18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1">
        <v>46147</v>
      </c>
      <c r="I17" s="10">
        <v>2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1">
        <v>46154</v>
      </c>
      <c r="H18" s="11">
        <v>46175</v>
      </c>
      <c r="I18" s="10">
        <v>18</v>
      </c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1">
        <v>46176</v>
      </c>
      <c r="H19" s="10"/>
      <c r="I19" s="10">
        <v>4</v>
      </c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24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SUM(I7,I9,I14,I20)</f>
        <v>334.25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12762-2708-4447-BD84-26DB3A26551F}">
  <dimension ref="A1:E88"/>
  <sheetViews>
    <sheetView workbookViewId="0">
      <pane ySplit="2" topLeftCell="A3" activePane="bottomLeft" state="frozen"/>
      <selection pane="bottomLeft" activeCell="H47" sqref="H47"/>
    </sheetView>
  </sheetViews>
  <sheetFormatPr defaultRowHeight="15" x14ac:dyDescent="0.25"/>
  <cols>
    <col min="1" max="3" width="14" customWidth="1"/>
    <col min="4" max="4" width="87.140625" bestFit="1" customWidth="1"/>
    <col min="5" max="5" width="17.7109375" bestFit="1" customWidth="1"/>
  </cols>
  <sheetData>
    <row r="1" spans="1:5" ht="27.95" customHeight="1" x14ac:dyDescent="0.25">
      <c r="A1" s="20" t="s">
        <v>45</v>
      </c>
      <c r="B1" s="21"/>
      <c r="C1" s="21"/>
      <c r="D1" s="21"/>
      <c r="E1" s="21"/>
    </row>
    <row r="2" spans="1:5" ht="20.100000000000001" customHeight="1" x14ac:dyDescent="0.25">
      <c r="A2" s="22" t="s">
        <v>46</v>
      </c>
      <c r="B2" s="22" t="s">
        <v>47</v>
      </c>
      <c r="C2" s="22" t="s">
        <v>48</v>
      </c>
      <c r="D2" s="22" t="s">
        <v>49</v>
      </c>
      <c r="E2" s="22" t="s">
        <v>50</v>
      </c>
    </row>
    <row r="3" spans="1:5" ht="15" customHeight="1" x14ac:dyDescent="0.25">
      <c r="A3" s="23">
        <v>45947</v>
      </c>
      <c r="B3" s="24" t="s">
        <v>51</v>
      </c>
      <c r="C3" s="25">
        <v>2</v>
      </c>
      <c r="D3" s="26" t="s">
        <v>52</v>
      </c>
      <c r="E3" s="27"/>
    </row>
    <row r="4" spans="1:5" ht="15" customHeight="1" x14ac:dyDescent="0.25">
      <c r="A4" s="23">
        <v>45950</v>
      </c>
      <c r="B4" s="24" t="s">
        <v>51</v>
      </c>
      <c r="C4" s="25">
        <v>2</v>
      </c>
      <c r="D4" s="26" t="s">
        <v>53</v>
      </c>
      <c r="E4" s="27"/>
    </row>
    <row r="5" spans="1:5" ht="15" customHeight="1" x14ac:dyDescent="0.25">
      <c r="A5" s="23">
        <v>45951</v>
      </c>
      <c r="B5" s="24" t="s">
        <v>51</v>
      </c>
      <c r="C5" s="25">
        <v>2</v>
      </c>
      <c r="D5" s="28" t="s">
        <v>54</v>
      </c>
      <c r="E5" s="27"/>
    </row>
    <row r="6" spans="1:5" ht="15" customHeight="1" x14ac:dyDescent="0.25">
      <c r="A6" s="23">
        <v>45952</v>
      </c>
      <c r="B6" s="24" t="s">
        <v>51</v>
      </c>
      <c r="C6" s="25">
        <v>2</v>
      </c>
      <c r="D6" s="28" t="s">
        <v>55</v>
      </c>
      <c r="E6" s="27" t="s">
        <v>56</v>
      </c>
    </row>
    <row r="7" spans="1:5" ht="15" customHeight="1" x14ac:dyDescent="0.25">
      <c r="A7" s="23">
        <v>45953</v>
      </c>
      <c r="B7" s="24" t="s">
        <v>51</v>
      </c>
      <c r="C7" s="25">
        <v>2</v>
      </c>
      <c r="D7" s="28" t="s">
        <v>57</v>
      </c>
      <c r="E7" s="27" t="s">
        <v>56</v>
      </c>
    </row>
    <row r="8" spans="1:5" ht="15" customHeight="1" x14ac:dyDescent="0.25">
      <c r="A8" s="23">
        <v>45954</v>
      </c>
      <c r="B8" s="24" t="s">
        <v>51</v>
      </c>
      <c r="C8" s="25">
        <v>2</v>
      </c>
      <c r="D8" s="28" t="s">
        <v>58</v>
      </c>
      <c r="E8" s="27" t="s">
        <v>56</v>
      </c>
    </row>
    <row r="9" spans="1:5" ht="15" customHeight="1" x14ac:dyDescent="0.25">
      <c r="A9" s="23">
        <v>45957</v>
      </c>
      <c r="B9" s="24" t="s">
        <v>51</v>
      </c>
      <c r="C9" s="25">
        <v>3</v>
      </c>
      <c r="D9" s="28" t="s">
        <v>59</v>
      </c>
      <c r="E9" s="27" t="s">
        <v>56</v>
      </c>
    </row>
    <row r="10" spans="1:5" ht="15.75" customHeight="1" x14ac:dyDescent="0.25">
      <c r="A10" s="23">
        <v>45958</v>
      </c>
      <c r="B10" s="24" t="s">
        <v>51</v>
      </c>
      <c r="C10" s="25">
        <v>2</v>
      </c>
      <c r="D10" s="26" t="s">
        <v>60</v>
      </c>
      <c r="E10" s="27" t="s">
        <v>56</v>
      </c>
    </row>
    <row r="11" spans="1:5" ht="15" customHeight="1" x14ac:dyDescent="0.25">
      <c r="A11" s="26" t="s">
        <v>61</v>
      </c>
      <c r="B11" s="24" t="s">
        <v>51</v>
      </c>
      <c r="C11" s="25">
        <v>4</v>
      </c>
      <c r="D11" s="26" t="s">
        <v>62</v>
      </c>
      <c r="E11" s="27" t="s">
        <v>56</v>
      </c>
    </row>
    <row r="12" spans="1:5" ht="15" customHeight="1" x14ac:dyDescent="0.25">
      <c r="A12" s="26" t="s">
        <v>63</v>
      </c>
      <c r="B12" s="24" t="s">
        <v>51</v>
      </c>
      <c r="C12" s="25">
        <v>2</v>
      </c>
      <c r="D12" s="26" t="s">
        <v>64</v>
      </c>
      <c r="E12" s="27" t="s">
        <v>56</v>
      </c>
    </row>
    <row r="13" spans="1:5" ht="15" customHeight="1" x14ac:dyDescent="0.25">
      <c r="A13" s="26" t="s">
        <v>65</v>
      </c>
      <c r="B13" s="24" t="s">
        <v>51</v>
      </c>
      <c r="C13" s="25">
        <v>4</v>
      </c>
      <c r="D13" s="26" t="s">
        <v>66</v>
      </c>
      <c r="E13" s="27" t="s">
        <v>56</v>
      </c>
    </row>
    <row r="14" spans="1:5" ht="15" customHeight="1" x14ac:dyDescent="0.25">
      <c r="A14" s="26" t="s">
        <v>67</v>
      </c>
      <c r="B14" s="24" t="s">
        <v>51</v>
      </c>
      <c r="C14" s="25">
        <v>2</v>
      </c>
      <c r="D14" s="26" t="s">
        <v>68</v>
      </c>
      <c r="E14" s="27" t="s">
        <v>56</v>
      </c>
    </row>
    <row r="15" spans="1:5" ht="15" customHeight="1" x14ac:dyDescent="0.25">
      <c r="A15" s="26" t="s">
        <v>69</v>
      </c>
      <c r="B15" s="24" t="s">
        <v>51</v>
      </c>
      <c r="C15" s="25">
        <v>2</v>
      </c>
      <c r="D15" s="26" t="s">
        <v>70</v>
      </c>
      <c r="E15" s="27" t="s">
        <v>56</v>
      </c>
    </row>
    <row r="16" spans="1:5" ht="15" customHeight="1" x14ac:dyDescent="0.25">
      <c r="A16" s="26" t="s">
        <v>71</v>
      </c>
      <c r="B16" s="24" t="s">
        <v>51</v>
      </c>
      <c r="C16" s="25">
        <v>2</v>
      </c>
      <c r="D16" s="26" t="s">
        <v>72</v>
      </c>
      <c r="E16" s="27" t="s">
        <v>56</v>
      </c>
    </row>
    <row r="17" spans="1:5" ht="15" customHeight="1" x14ac:dyDescent="0.25">
      <c r="A17" s="26" t="s">
        <v>73</v>
      </c>
      <c r="B17" s="24" t="s">
        <v>51</v>
      </c>
      <c r="C17" s="25">
        <v>2</v>
      </c>
      <c r="D17" s="26" t="s">
        <v>74</v>
      </c>
      <c r="E17" s="27" t="s">
        <v>56</v>
      </c>
    </row>
    <row r="18" spans="1:5" ht="15" customHeight="1" x14ac:dyDescent="0.25">
      <c r="A18" s="26" t="s">
        <v>75</v>
      </c>
      <c r="B18" s="24" t="s">
        <v>51</v>
      </c>
      <c r="C18" s="25">
        <v>4</v>
      </c>
      <c r="D18" s="26" t="s">
        <v>76</v>
      </c>
      <c r="E18" s="27" t="s">
        <v>56</v>
      </c>
    </row>
    <row r="19" spans="1:5" ht="15" customHeight="1" x14ac:dyDescent="0.25">
      <c r="A19" s="26" t="s">
        <v>77</v>
      </c>
      <c r="B19" s="24" t="s">
        <v>51</v>
      </c>
      <c r="C19" s="25">
        <v>2</v>
      </c>
      <c r="D19" s="26" t="s">
        <v>78</v>
      </c>
      <c r="E19" s="27" t="s">
        <v>56</v>
      </c>
    </row>
    <row r="20" spans="1:5" ht="15" customHeight="1" x14ac:dyDescent="0.25">
      <c r="A20" s="26" t="s">
        <v>79</v>
      </c>
      <c r="B20" s="24" t="s">
        <v>51</v>
      </c>
      <c r="C20" s="25">
        <v>2</v>
      </c>
      <c r="D20" s="26" t="s">
        <v>80</v>
      </c>
      <c r="E20" s="27" t="s">
        <v>56</v>
      </c>
    </row>
    <row r="21" spans="1:5" ht="15" customHeight="1" x14ac:dyDescent="0.25">
      <c r="A21" s="26" t="s">
        <v>81</v>
      </c>
      <c r="B21" s="24" t="s">
        <v>51</v>
      </c>
      <c r="C21" s="25">
        <v>2</v>
      </c>
      <c r="D21" s="26" t="s">
        <v>82</v>
      </c>
      <c r="E21" s="27" t="s">
        <v>56</v>
      </c>
    </row>
    <row r="22" spans="1:5" ht="15" customHeight="1" x14ac:dyDescent="0.25">
      <c r="A22" s="26" t="s">
        <v>83</v>
      </c>
      <c r="B22" s="24" t="s">
        <v>51</v>
      </c>
      <c r="C22" s="25">
        <v>2</v>
      </c>
      <c r="D22" s="26" t="s">
        <v>84</v>
      </c>
      <c r="E22" s="27" t="s">
        <v>56</v>
      </c>
    </row>
    <row r="23" spans="1:5" ht="15" customHeight="1" x14ac:dyDescent="0.25">
      <c r="A23" s="26" t="s">
        <v>85</v>
      </c>
      <c r="B23" s="24" t="s">
        <v>51</v>
      </c>
      <c r="C23" s="25">
        <v>2</v>
      </c>
      <c r="D23" s="26" t="s">
        <v>86</v>
      </c>
      <c r="E23" s="27" t="s">
        <v>56</v>
      </c>
    </row>
    <row r="24" spans="1:5" ht="15" customHeight="1" x14ac:dyDescent="0.25">
      <c r="A24" s="26" t="s">
        <v>87</v>
      </c>
      <c r="B24" s="24" t="s">
        <v>51</v>
      </c>
      <c r="C24" s="25">
        <v>2</v>
      </c>
      <c r="D24" s="26" t="s">
        <v>88</v>
      </c>
      <c r="E24" s="27" t="s">
        <v>56</v>
      </c>
    </row>
    <row r="25" spans="1:5" ht="15" customHeight="1" x14ac:dyDescent="0.25">
      <c r="A25" s="26" t="s">
        <v>89</v>
      </c>
      <c r="B25" s="24" t="s">
        <v>51</v>
      </c>
      <c r="C25" s="25">
        <v>2</v>
      </c>
      <c r="D25" s="26" t="s">
        <v>90</v>
      </c>
      <c r="E25" s="27" t="s">
        <v>56</v>
      </c>
    </row>
    <row r="26" spans="1:5" ht="15" customHeight="1" x14ac:dyDescent="0.25">
      <c r="A26" s="26" t="s">
        <v>91</v>
      </c>
      <c r="B26" s="24" t="s">
        <v>51</v>
      </c>
      <c r="C26" s="25">
        <v>2</v>
      </c>
      <c r="D26" s="26" t="s">
        <v>92</v>
      </c>
      <c r="E26" s="27" t="s">
        <v>56</v>
      </c>
    </row>
    <row r="27" spans="1:5" ht="15" customHeight="1" x14ac:dyDescent="0.25">
      <c r="A27" s="26" t="s">
        <v>93</v>
      </c>
      <c r="B27" s="24" t="s">
        <v>51</v>
      </c>
      <c r="C27" s="25">
        <v>2</v>
      </c>
      <c r="D27" s="26" t="s">
        <v>94</v>
      </c>
      <c r="E27" s="27" t="s">
        <v>56</v>
      </c>
    </row>
    <row r="28" spans="1:5" ht="15" customHeight="1" x14ac:dyDescent="0.25">
      <c r="A28" s="26" t="s">
        <v>95</v>
      </c>
      <c r="B28" s="24" t="s">
        <v>51</v>
      </c>
      <c r="C28" s="25">
        <v>2</v>
      </c>
      <c r="D28" s="26" t="s">
        <v>96</v>
      </c>
      <c r="E28" s="27" t="s">
        <v>56</v>
      </c>
    </row>
    <row r="29" spans="1:5" ht="15" customHeight="1" x14ac:dyDescent="0.25">
      <c r="A29" s="26" t="s">
        <v>97</v>
      </c>
      <c r="B29" s="24" t="s">
        <v>51</v>
      </c>
      <c r="C29" s="25">
        <v>2</v>
      </c>
      <c r="D29" s="26" t="s">
        <v>98</v>
      </c>
      <c r="E29" s="27" t="s">
        <v>56</v>
      </c>
    </row>
    <row r="30" spans="1:5" ht="15" customHeight="1" x14ac:dyDescent="0.25">
      <c r="A30" s="26" t="s">
        <v>99</v>
      </c>
      <c r="B30" s="24" t="s">
        <v>51</v>
      </c>
      <c r="C30" s="25">
        <v>2</v>
      </c>
      <c r="D30" s="26" t="s">
        <v>100</v>
      </c>
      <c r="E30" s="27" t="s">
        <v>56</v>
      </c>
    </row>
    <row r="31" spans="1:5" ht="15" customHeight="1" x14ac:dyDescent="0.25">
      <c r="A31" s="23">
        <v>46114</v>
      </c>
      <c r="B31" s="24" t="s">
        <v>51</v>
      </c>
      <c r="C31" s="25">
        <v>5</v>
      </c>
      <c r="D31" s="26" t="s">
        <v>101</v>
      </c>
      <c r="E31" s="27" t="s">
        <v>56</v>
      </c>
    </row>
    <row r="32" spans="1:5" ht="15" customHeight="1" x14ac:dyDescent="0.25">
      <c r="A32" s="23">
        <v>46115</v>
      </c>
      <c r="B32" s="24" t="s">
        <v>51</v>
      </c>
      <c r="C32" s="25">
        <v>5</v>
      </c>
      <c r="D32" s="26" t="s">
        <v>102</v>
      </c>
      <c r="E32" s="27" t="s">
        <v>56</v>
      </c>
    </row>
    <row r="33" spans="1:5" ht="15" customHeight="1" x14ac:dyDescent="0.25">
      <c r="A33" s="23">
        <v>46118</v>
      </c>
      <c r="B33" s="24" t="s">
        <v>51</v>
      </c>
      <c r="C33" s="25">
        <v>5</v>
      </c>
      <c r="D33" s="26" t="s">
        <v>103</v>
      </c>
      <c r="E33" s="27" t="s">
        <v>56</v>
      </c>
    </row>
    <row r="34" spans="1:5" ht="15" customHeight="1" x14ac:dyDescent="0.25">
      <c r="A34" s="23">
        <v>46119</v>
      </c>
      <c r="B34" s="24" t="s">
        <v>51</v>
      </c>
      <c r="C34" s="25">
        <v>2</v>
      </c>
      <c r="D34" s="26" t="s">
        <v>104</v>
      </c>
      <c r="E34" s="27" t="s">
        <v>56</v>
      </c>
    </row>
    <row r="35" spans="1:5" ht="15" customHeight="1" x14ac:dyDescent="0.25">
      <c r="A35" s="23">
        <v>46120</v>
      </c>
      <c r="B35" s="24" t="s">
        <v>51</v>
      </c>
      <c r="C35" s="25">
        <v>6</v>
      </c>
      <c r="D35" s="26" t="s">
        <v>105</v>
      </c>
      <c r="E35" s="27" t="s">
        <v>56</v>
      </c>
    </row>
    <row r="36" spans="1:5" ht="15" customHeight="1" x14ac:dyDescent="0.25">
      <c r="A36" s="23">
        <v>46121</v>
      </c>
      <c r="B36" s="24" t="s">
        <v>51</v>
      </c>
      <c r="C36" s="25">
        <v>3</v>
      </c>
      <c r="D36" s="26" t="s">
        <v>106</v>
      </c>
      <c r="E36" s="27" t="s">
        <v>56</v>
      </c>
    </row>
    <row r="37" spans="1:5" ht="15" customHeight="1" x14ac:dyDescent="0.25">
      <c r="A37" s="23">
        <v>46122</v>
      </c>
      <c r="B37" s="24" t="s">
        <v>51</v>
      </c>
      <c r="C37" s="25">
        <v>6</v>
      </c>
      <c r="D37" s="26" t="s">
        <v>107</v>
      </c>
      <c r="E37" s="27" t="s">
        <v>56</v>
      </c>
    </row>
    <row r="38" spans="1:5" ht="15" customHeight="1" x14ac:dyDescent="0.25">
      <c r="A38" s="23">
        <v>46125</v>
      </c>
      <c r="B38" s="24" t="s">
        <v>51</v>
      </c>
      <c r="C38" s="25">
        <v>6</v>
      </c>
      <c r="D38" s="26" t="s">
        <v>108</v>
      </c>
      <c r="E38" s="27" t="s">
        <v>56</v>
      </c>
    </row>
    <row r="39" spans="1:5" ht="15" customHeight="1" x14ac:dyDescent="0.25">
      <c r="A39" s="23">
        <v>46126</v>
      </c>
      <c r="B39" s="24" t="s">
        <v>51</v>
      </c>
      <c r="C39" s="25">
        <v>2</v>
      </c>
      <c r="D39" s="26" t="s">
        <v>109</v>
      </c>
      <c r="E39" s="27" t="s">
        <v>56</v>
      </c>
    </row>
    <row r="40" spans="1:5" ht="15" customHeight="1" x14ac:dyDescent="0.25">
      <c r="A40" s="23">
        <v>46127</v>
      </c>
      <c r="B40" s="24" t="s">
        <v>51</v>
      </c>
      <c r="C40" s="25">
        <v>6</v>
      </c>
      <c r="D40" s="26" t="s">
        <v>110</v>
      </c>
      <c r="E40" s="27" t="s">
        <v>56</v>
      </c>
    </row>
    <row r="41" spans="1:5" ht="15" customHeight="1" x14ac:dyDescent="0.25">
      <c r="A41" s="23">
        <v>46128</v>
      </c>
      <c r="B41" s="24" t="s">
        <v>51</v>
      </c>
      <c r="C41" s="25">
        <v>2</v>
      </c>
      <c r="D41" s="26" t="s">
        <v>111</v>
      </c>
      <c r="E41" s="27" t="s">
        <v>56</v>
      </c>
    </row>
    <row r="42" spans="1:5" ht="15" customHeight="1" x14ac:dyDescent="0.25">
      <c r="A42" s="23">
        <v>46129</v>
      </c>
      <c r="B42" s="24" t="s">
        <v>51</v>
      </c>
      <c r="C42" s="25">
        <v>2</v>
      </c>
      <c r="D42" s="26" t="s">
        <v>112</v>
      </c>
      <c r="E42" s="27" t="s">
        <v>56</v>
      </c>
    </row>
    <row r="43" spans="1:5" ht="15" customHeight="1" x14ac:dyDescent="0.25">
      <c r="A43" s="26" t="s">
        <v>113</v>
      </c>
      <c r="B43" s="24" t="s">
        <v>51</v>
      </c>
      <c r="C43" s="25">
        <v>4</v>
      </c>
      <c r="D43" s="26" t="s">
        <v>114</v>
      </c>
      <c r="E43" s="27" t="s">
        <v>56</v>
      </c>
    </row>
    <row r="44" spans="1:5" ht="15" customHeight="1" x14ac:dyDescent="0.25">
      <c r="A44" s="26" t="s">
        <v>115</v>
      </c>
      <c r="B44" s="24" t="s">
        <v>51</v>
      </c>
      <c r="C44" s="25">
        <v>9</v>
      </c>
      <c r="D44" s="26" t="s">
        <v>116</v>
      </c>
      <c r="E44" s="27" t="s">
        <v>56</v>
      </c>
    </row>
    <row r="45" spans="1:5" ht="15" customHeight="1" x14ac:dyDescent="0.25">
      <c r="A45" s="26" t="s">
        <v>117</v>
      </c>
      <c r="B45" s="24" t="s">
        <v>51</v>
      </c>
      <c r="C45" s="25">
        <v>5</v>
      </c>
      <c r="D45" s="26" t="s">
        <v>118</v>
      </c>
      <c r="E45" s="27" t="s">
        <v>56</v>
      </c>
    </row>
    <row r="46" spans="1:5" ht="15" customHeight="1" x14ac:dyDescent="0.25">
      <c r="A46" s="26" t="s">
        <v>119</v>
      </c>
      <c r="B46" s="24" t="s">
        <v>51</v>
      </c>
      <c r="C46" s="25">
        <v>5</v>
      </c>
      <c r="D46" s="26" t="s">
        <v>120</v>
      </c>
      <c r="E46" s="27" t="s">
        <v>56</v>
      </c>
    </row>
    <row r="47" spans="1:5" ht="15" customHeight="1" x14ac:dyDescent="0.25">
      <c r="A47" s="26" t="s">
        <v>121</v>
      </c>
      <c r="B47" s="24" t="s">
        <v>51</v>
      </c>
      <c r="C47" s="25">
        <v>2</v>
      </c>
      <c r="D47" s="26" t="s">
        <v>122</v>
      </c>
      <c r="E47" s="27" t="s">
        <v>56</v>
      </c>
    </row>
    <row r="48" spans="1:5" ht="15" customHeight="1" x14ac:dyDescent="0.25">
      <c r="A48" s="26" t="s">
        <v>123</v>
      </c>
      <c r="B48" s="24" t="s">
        <v>51</v>
      </c>
      <c r="C48" s="25">
        <v>8</v>
      </c>
      <c r="D48" s="26" t="s">
        <v>124</v>
      </c>
      <c r="E48" s="27" t="s">
        <v>56</v>
      </c>
    </row>
    <row r="49" spans="1:5" ht="15" customHeight="1" x14ac:dyDescent="0.25">
      <c r="A49" s="26" t="s">
        <v>125</v>
      </c>
      <c r="B49" s="24" t="s">
        <v>51</v>
      </c>
      <c r="C49" s="25">
        <v>9</v>
      </c>
      <c r="D49" s="26" t="s">
        <v>126</v>
      </c>
      <c r="E49" s="27" t="s">
        <v>56</v>
      </c>
    </row>
    <row r="50" spans="1:5" ht="15" customHeight="1" x14ac:dyDescent="0.25">
      <c r="A50" s="26" t="s">
        <v>127</v>
      </c>
      <c r="B50" s="24" t="s">
        <v>51</v>
      </c>
      <c r="C50" s="25">
        <v>7</v>
      </c>
      <c r="D50" s="26" t="s">
        <v>128</v>
      </c>
      <c r="E50" s="27" t="s">
        <v>56</v>
      </c>
    </row>
    <row r="51" spans="1:5" ht="15" customHeight="1" x14ac:dyDescent="0.25">
      <c r="A51" s="26" t="s">
        <v>129</v>
      </c>
      <c r="B51" s="24" t="s">
        <v>51</v>
      </c>
      <c r="C51" s="25">
        <v>7</v>
      </c>
      <c r="D51" s="26" t="s">
        <v>130</v>
      </c>
      <c r="E51" s="27" t="s">
        <v>56</v>
      </c>
    </row>
    <row r="52" spans="1:5" ht="15" customHeight="1" x14ac:dyDescent="0.25">
      <c r="A52" s="29" t="s">
        <v>129</v>
      </c>
      <c r="B52" s="30" t="s">
        <v>131</v>
      </c>
      <c r="C52" s="31">
        <v>2</v>
      </c>
      <c r="D52" s="29" t="s">
        <v>132</v>
      </c>
      <c r="E52" s="32" t="s">
        <v>56</v>
      </c>
    </row>
    <row r="53" spans="1:5" ht="15" customHeight="1" x14ac:dyDescent="0.25">
      <c r="A53" s="26" t="s">
        <v>133</v>
      </c>
      <c r="B53" s="24" t="s">
        <v>51</v>
      </c>
      <c r="C53" s="25">
        <v>2</v>
      </c>
      <c r="D53" s="26" t="s">
        <v>134</v>
      </c>
      <c r="E53" s="27" t="s">
        <v>56</v>
      </c>
    </row>
    <row r="54" spans="1:5" ht="15" customHeight="1" x14ac:dyDescent="0.25">
      <c r="A54" s="26" t="s">
        <v>135</v>
      </c>
      <c r="B54" s="24" t="s">
        <v>51</v>
      </c>
      <c r="C54" s="25">
        <v>6</v>
      </c>
      <c r="D54" s="26" t="s">
        <v>136</v>
      </c>
      <c r="E54" s="27" t="s">
        <v>56</v>
      </c>
    </row>
    <row r="55" spans="1:5" ht="15" customHeight="1" x14ac:dyDescent="0.25">
      <c r="A55" s="26" t="s">
        <v>137</v>
      </c>
      <c r="B55" s="24" t="s">
        <v>51</v>
      </c>
      <c r="C55" s="25">
        <v>4</v>
      </c>
      <c r="D55" s="26" t="s">
        <v>138</v>
      </c>
      <c r="E55" s="27" t="s">
        <v>56</v>
      </c>
    </row>
    <row r="56" spans="1:5" ht="15" customHeight="1" x14ac:dyDescent="0.25">
      <c r="A56" s="26" t="s">
        <v>139</v>
      </c>
      <c r="B56" s="24" t="s">
        <v>51</v>
      </c>
      <c r="C56" s="25">
        <v>9</v>
      </c>
      <c r="D56" s="26" t="s">
        <v>140</v>
      </c>
      <c r="E56" s="27" t="s">
        <v>56</v>
      </c>
    </row>
    <row r="57" spans="1:5" ht="15" customHeight="1" x14ac:dyDescent="0.25">
      <c r="A57" s="23">
        <v>46150</v>
      </c>
      <c r="B57" s="24" t="s">
        <v>51</v>
      </c>
      <c r="C57" s="25">
        <v>4</v>
      </c>
      <c r="D57" s="26" t="s">
        <v>141</v>
      </c>
      <c r="E57" s="27" t="s">
        <v>56</v>
      </c>
    </row>
    <row r="58" spans="1:5" ht="15" customHeight="1" x14ac:dyDescent="0.25">
      <c r="A58" s="23">
        <v>46153</v>
      </c>
      <c r="B58" s="24" t="s">
        <v>51</v>
      </c>
      <c r="C58" s="25">
        <v>7</v>
      </c>
      <c r="D58" s="26" t="s">
        <v>142</v>
      </c>
      <c r="E58" s="27" t="s">
        <v>56</v>
      </c>
    </row>
    <row r="59" spans="1:5" ht="15" customHeight="1" x14ac:dyDescent="0.25">
      <c r="A59" s="23">
        <v>46154</v>
      </c>
      <c r="B59" s="24" t="s">
        <v>51</v>
      </c>
      <c r="C59" s="25">
        <v>7</v>
      </c>
      <c r="D59" s="26" t="s">
        <v>143</v>
      </c>
      <c r="E59" s="27" t="s">
        <v>56</v>
      </c>
    </row>
    <row r="60" spans="1:5" ht="15" customHeight="1" x14ac:dyDescent="0.25">
      <c r="A60" s="33">
        <v>46154</v>
      </c>
      <c r="B60" s="30" t="s">
        <v>131</v>
      </c>
      <c r="C60" s="31">
        <v>2</v>
      </c>
      <c r="D60" s="29" t="s">
        <v>144</v>
      </c>
      <c r="E60" s="32" t="s">
        <v>56</v>
      </c>
    </row>
    <row r="61" spans="1:5" ht="15" customHeight="1" x14ac:dyDescent="0.25">
      <c r="A61" s="23">
        <v>46155</v>
      </c>
      <c r="B61" s="24" t="s">
        <v>51</v>
      </c>
      <c r="C61" s="25">
        <v>8</v>
      </c>
      <c r="D61" s="26" t="s">
        <v>145</v>
      </c>
      <c r="E61" s="27" t="s">
        <v>56</v>
      </c>
    </row>
    <row r="62" spans="1:5" ht="15" customHeight="1" x14ac:dyDescent="0.25">
      <c r="A62" s="23">
        <v>46156</v>
      </c>
      <c r="B62" s="24" t="s">
        <v>51</v>
      </c>
      <c r="C62" s="25">
        <v>7</v>
      </c>
      <c r="D62" s="26" t="s">
        <v>146</v>
      </c>
      <c r="E62" s="27" t="s">
        <v>56</v>
      </c>
    </row>
    <row r="63" spans="1:5" ht="15" customHeight="1" x14ac:dyDescent="0.25">
      <c r="A63" s="26" t="s">
        <v>147</v>
      </c>
      <c r="B63" s="24" t="s">
        <v>51</v>
      </c>
      <c r="C63" s="25">
        <v>7</v>
      </c>
      <c r="D63" s="26" t="s">
        <v>148</v>
      </c>
      <c r="E63" s="27" t="s">
        <v>56</v>
      </c>
    </row>
    <row r="64" spans="1:5" ht="15" customHeight="1" x14ac:dyDescent="0.25">
      <c r="A64" s="34" t="s">
        <v>149</v>
      </c>
      <c r="B64" s="35" t="s">
        <v>150</v>
      </c>
      <c r="C64" s="36">
        <v>7</v>
      </c>
      <c r="D64" s="34" t="s">
        <v>151</v>
      </c>
      <c r="E64" s="37" t="s">
        <v>56</v>
      </c>
    </row>
    <row r="65" spans="1:5" ht="15" customHeight="1" x14ac:dyDescent="0.25">
      <c r="A65" s="34" t="s">
        <v>152</v>
      </c>
      <c r="B65" s="35" t="s">
        <v>150</v>
      </c>
      <c r="C65" s="36">
        <v>2</v>
      </c>
      <c r="D65" s="34" t="s">
        <v>153</v>
      </c>
      <c r="E65" s="37" t="s">
        <v>56</v>
      </c>
    </row>
    <row r="66" spans="1:5" ht="15" customHeight="1" x14ac:dyDescent="0.25">
      <c r="A66" s="29" t="s">
        <v>154</v>
      </c>
      <c r="B66" s="30" t="s">
        <v>131</v>
      </c>
      <c r="C66" s="31">
        <v>2</v>
      </c>
      <c r="D66" s="29" t="s">
        <v>155</v>
      </c>
      <c r="E66" s="32" t="s">
        <v>56</v>
      </c>
    </row>
    <row r="67" spans="1:5" ht="15" customHeight="1" x14ac:dyDescent="0.25">
      <c r="A67" s="34" t="s">
        <v>156</v>
      </c>
      <c r="B67" s="35" t="s">
        <v>150</v>
      </c>
      <c r="C67" s="36">
        <v>5</v>
      </c>
      <c r="D67" s="34" t="s">
        <v>157</v>
      </c>
      <c r="E67" s="37" t="s">
        <v>56</v>
      </c>
    </row>
    <row r="68" spans="1:5" ht="15" customHeight="1" x14ac:dyDescent="0.25">
      <c r="A68" s="29" t="s">
        <v>156</v>
      </c>
      <c r="B68" s="30" t="s">
        <v>131</v>
      </c>
      <c r="C68" s="31">
        <v>2</v>
      </c>
      <c r="D68" s="29" t="s">
        <v>158</v>
      </c>
      <c r="E68" s="32" t="s">
        <v>56</v>
      </c>
    </row>
    <row r="69" spans="1:5" ht="15" customHeight="1" x14ac:dyDescent="0.25">
      <c r="A69" s="34" t="s">
        <v>159</v>
      </c>
      <c r="B69" s="35" t="s">
        <v>150</v>
      </c>
      <c r="C69" s="36">
        <v>6</v>
      </c>
      <c r="D69" s="34" t="s">
        <v>160</v>
      </c>
      <c r="E69" s="37" t="s">
        <v>56</v>
      </c>
    </row>
    <row r="70" spans="1:5" ht="15" customHeight="1" x14ac:dyDescent="0.25">
      <c r="A70" s="34" t="s">
        <v>161</v>
      </c>
      <c r="B70" s="35" t="s">
        <v>150</v>
      </c>
      <c r="C70" s="36">
        <v>9</v>
      </c>
      <c r="D70" s="34" t="s">
        <v>162</v>
      </c>
      <c r="E70" s="37" t="s">
        <v>56</v>
      </c>
    </row>
    <row r="71" spans="1:5" ht="15" customHeight="1" x14ac:dyDescent="0.25">
      <c r="A71" s="34" t="s">
        <v>163</v>
      </c>
      <c r="B71" s="35" t="s">
        <v>150</v>
      </c>
      <c r="C71" s="36">
        <v>8</v>
      </c>
      <c r="D71" s="34" t="s">
        <v>164</v>
      </c>
      <c r="E71" s="37" t="s">
        <v>56</v>
      </c>
    </row>
    <row r="72" spans="1:5" ht="15" customHeight="1" x14ac:dyDescent="0.25">
      <c r="A72" s="34" t="s">
        <v>165</v>
      </c>
      <c r="B72" s="35" t="s">
        <v>150</v>
      </c>
      <c r="C72" s="36">
        <v>8</v>
      </c>
      <c r="D72" s="34" t="s">
        <v>166</v>
      </c>
      <c r="E72" s="37" t="s">
        <v>56</v>
      </c>
    </row>
    <row r="73" spans="1:5" ht="15" customHeight="1" x14ac:dyDescent="0.25">
      <c r="A73" s="29" t="s">
        <v>165</v>
      </c>
      <c r="B73" s="30" t="s">
        <v>131</v>
      </c>
      <c r="C73" s="31">
        <v>2</v>
      </c>
      <c r="D73" s="29" t="s">
        <v>167</v>
      </c>
      <c r="E73" s="32" t="s">
        <v>56</v>
      </c>
    </row>
    <row r="74" spans="1:5" ht="15" customHeight="1" x14ac:dyDescent="0.25">
      <c r="A74" s="29" t="s">
        <v>168</v>
      </c>
      <c r="B74" s="30" t="s">
        <v>131</v>
      </c>
      <c r="C74" s="31">
        <v>2</v>
      </c>
      <c r="D74" s="29" t="s">
        <v>169</v>
      </c>
      <c r="E74" s="32" t="s">
        <v>56</v>
      </c>
    </row>
    <row r="75" spans="1:5" ht="15" customHeight="1" x14ac:dyDescent="0.25">
      <c r="A75" s="34" t="s">
        <v>170</v>
      </c>
      <c r="B75" s="35" t="s">
        <v>150</v>
      </c>
      <c r="C75" s="36">
        <v>5</v>
      </c>
      <c r="D75" s="34" t="s">
        <v>171</v>
      </c>
      <c r="E75" s="37" t="s">
        <v>56</v>
      </c>
    </row>
    <row r="76" spans="1:5" ht="15" customHeight="1" x14ac:dyDescent="0.25">
      <c r="A76" s="34" t="s">
        <v>172</v>
      </c>
      <c r="B76" s="35" t="s">
        <v>150</v>
      </c>
      <c r="C76" s="36">
        <v>7</v>
      </c>
      <c r="D76" s="34" t="s">
        <v>173</v>
      </c>
      <c r="E76" s="37" t="s">
        <v>56</v>
      </c>
    </row>
    <row r="77" spans="1:5" ht="15" customHeight="1" x14ac:dyDescent="0.25">
      <c r="A77" s="29" t="s">
        <v>172</v>
      </c>
      <c r="B77" s="30" t="s">
        <v>131</v>
      </c>
      <c r="C77" s="31">
        <v>2</v>
      </c>
      <c r="D77" s="29" t="s">
        <v>174</v>
      </c>
      <c r="E77" s="32" t="s">
        <v>56</v>
      </c>
    </row>
    <row r="78" spans="1:5" ht="15" customHeight="1" x14ac:dyDescent="0.25">
      <c r="A78" s="34" t="s">
        <v>175</v>
      </c>
      <c r="B78" s="35" t="s">
        <v>150</v>
      </c>
      <c r="C78" s="36">
        <v>9</v>
      </c>
      <c r="D78" s="34" t="s">
        <v>176</v>
      </c>
      <c r="E78" s="37" t="s">
        <v>56</v>
      </c>
    </row>
    <row r="79" spans="1:5" ht="15" customHeight="1" x14ac:dyDescent="0.25">
      <c r="A79" s="34" t="s">
        <v>177</v>
      </c>
      <c r="B79" s="35" t="s">
        <v>150</v>
      </c>
      <c r="C79" s="36">
        <v>5</v>
      </c>
      <c r="D79" s="34" t="s">
        <v>178</v>
      </c>
      <c r="E79" s="37" t="s">
        <v>56</v>
      </c>
    </row>
    <row r="80" spans="1:5" ht="15" customHeight="1" x14ac:dyDescent="0.25">
      <c r="A80" s="34" t="s">
        <v>179</v>
      </c>
      <c r="B80" s="35" t="s">
        <v>150</v>
      </c>
      <c r="C80" s="36">
        <v>2</v>
      </c>
      <c r="D80" s="34" t="s">
        <v>180</v>
      </c>
      <c r="E80" s="37" t="s">
        <v>56</v>
      </c>
    </row>
    <row r="81" spans="1:5" ht="15" customHeight="1" x14ac:dyDescent="0.25">
      <c r="A81" s="29" t="s">
        <v>179</v>
      </c>
      <c r="B81" s="30" t="s">
        <v>131</v>
      </c>
      <c r="C81" s="31">
        <v>2</v>
      </c>
      <c r="D81" s="29" t="s">
        <v>181</v>
      </c>
      <c r="E81" s="32" t="s">
        <v>56</v>
      </c>
    </row>
    <row r="82" spans="1:5" ht="15" customHeight="1" x14ac:dyDescent="0.25">
      <c r="A82" s="33">
        <v>46181</v>
      </c>
      <c r="B82" s="30" t="s">
        <v>131</v>
      </c>
      <c r="C82" s="31">
        <v>2</v>
      </c>
      <c r="D82" s="29" t="s">
        <v>182</v>
      </c>
      <c r="E82" s="32" t="s">
        <v>56</v>
      </c>
    </row>
    <row r="83" spans="1:5" ht="15" customHeight="1" x14ac:dyDescent="0.25">
      <c r="A83" s="34" t="s">
        <v>183</v>
      </c>
      <c r="B83" s="35" t="s">
        <v>150</v>
      </c>
      <c r="C83" s="36">
        <v>6</v>
      </c>
      <c r="D83" s="34" t="s">
        <v>184</v>
      </c>
      <c r="E83" s="37" t="s">
        <v>56</v>
      </c>
    </row>
    <row r="84" spans="1:5" ht="8.1" customHeight="1" x14ac:dyDescent="0.25"/>
    <row r="85" spans="1:5" ht="18" customHeight="1" x14ac:dyDescent="0.25">
      <c r="A85" s="38" t="s">
        <v>51</v>
      </c>
      <c r="B85" s="39" t="s">
        <v>185</v>
      </c>
      <c r="C85" s="40">
        <f>SUMIF(B11:B83,"Cursus 1",C11:C83)</f>
        <v>213</v>
      </c>
      <c r="D85" s="41"/>
      <c r="E85" s="26"/>
    </row>
    <row r="86" spans="1:5" ht="18" customHeight="1" x14ac:dyDescent="0.25">
      <c r="A86" s="42" t="s">
        <v>150</v>
      </c>
      <c r="B86" s="43" t="s">
        <v>185</v>
      </c>
      <c r="C86" s="44">
        <f>SUMIF(B11:B83,"Cursus 2",C11:C83)</f>
        <v>79</v>
      </c>
      <c r="D86" s="45"/>
      <c r="E86" s="34"/>
    </row>
    <row r="87" spans="1:5" ht="18" customHeight="1" x14ac:dyDescent="0.25">
      <c r="A87" s="46" t="s">
        <v>131</v>
      </c>
      <c r="B87" s="47" t="s">
        <v>185</v>
      </c>
      <c r="C87" s="48">
        <f>SUMIF(B11:B83,"Eindwerk",C11:C83)</f>
        <v>18</v>
      </c>
      <c r="D87" s="49"/>
      <c r="E87" s="29"/>
    </row>
    <row r="88" spans="1:5" ht="21.95" customHeight="1" x14ac:dyDescent="0.25">
      <c r="A88" s="50" t="s">
        <v>186</v>
      </c>
      <c r="B88" s="50" t="s">
        <v>187</v>
      </c>
      <c r="C88" s="51">
        <f>C85+C86+C87</f>
        <v>310</v>
      </c>
      <c r="D88" s="20" t="s">
        <v>188</v>
      </c>
      <c r="E88" s="5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N99" sqref="N9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  <c r="C91">
        <v>1</v>
      </c>
    </row>
    <row r="92" spans="2:3" x14ac:dyDescent="0.25">
      <c r="B92">
        <v>90</v>
      </c>
      <c r="C92">
        <v>1</v>
      </c>
    </row>
    <row r="93" spans="2:3" x14ac:dyDescent="0.25">
      <c r="B93">
        <v>91</v>
      </c>
      <c r="C93">
        <v>1</v>
      </c>
    </row>
    <row r="94" spans="2:3" x14ac:dyDescent="0.25">
      <c r="B94">
        <v>92</v>
      </c>
      <c r="C94">
        <v>1</v>
      </c>
    </row>
    <row r="95" spans="2:3" x14ac:dyDescent="0.25">
      <c r="B95">
        <v>93</v>
      </c>
      <c r="C95">
        <v>1</v>
      </c>
    </row>
    <row r="96" spans="2:3" x14ac:dyDescent="0.25">
      <c r="B96">
        <v>94</v>
      </c>
      <c r="C96">
        <v>1</v>
      </c>
    </row>
    <row r="97" spans="2:4" x14ac:dyDescent="0.25">
      <c r="B97">
        <v>95</v>
      </c>
      <c r="C97">
        <v>1</v>
      </c>
    </row>
    <row r="98" spans="2:4" x14ac:dyDescent="0.25">
      <c r="B98">
        <v>96</v>
      </c>
      <c r="C98">
        <v>1</v>
      </c>
    </row>
    <row r="99" spans="2:4" x14ac:dyDescent="0.25">
      <c r="B99">
        <v>97</v>
      </c>
      <c r="C99">
        <v>1</v>
      </c>
    </row>
    <row r="100" spans="2:4" x14ac:dyDescent="0.25">
      <c r="B100">
        <v>98</v>
      </c>
      <c r="C100">
        <v>1</v>
      </c>
    </row>
    <row r="101" spans="2:4" x14ac:dyDescent="0.25">
      <c r="B101">
        <v>99</v>
      </c>
      <c r="C101">
        <v>1</v>
      </c>
    </row>
    <row r="102" spans="2:4" x14ac:dyDescent="0.25">
      <c r="B102">
        <v>100</v>
      </c>
      <c r="C102">
        <v>1</v>
      </c>
      <c r="D102">
        <f>SUM(C63:C102)</f>
        <v>68</v>
      </c>
    </row>
    <row r="103" spans="2:4" x14ac:dyDescent="0.25">
      <c r="B103" t="s">
        <v>41</v>
      </c>
      <c r="C103">
        <f>SUM(C3:C102)</f>
        <v>213.25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Actieplan</vt:lpstr>
      <vt:lpstr>GitHub Commits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2026-06-08T19:01:00Z</dcterms:modified>
</cp:coreProperties>
</file>